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c\Desktop\"/>
    </mc:Choice>
  </mc:AlternateContent>
  <bookViews>
    <workbookView windowWidth="18350" windowHeight="8080"/>
  </bookViews>
  <sheets>
    <sheet name="4×1000标方电解制氢装置概算" sheetId="7" r:id="rId1"/>
    <sheet name="4×1000标方电解制氢装置电耗" sheetId="6" r:id="rId2"/>
    <sheet name="Sheet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<sst xmlns="http://schemas.openxmlformats.org/spreadsheetml/2006/main" count="60" uniqueCount="49">
  <si>
    <t>4×1000标方电解制氢装置概算（20MW）</t>
  </si>
  <si>
    <t>序号</t>
  </si>
  <si>
    <t>名称</t>
  </si>
  <si>
    <t>数量（套）</t>
  </si>
  <si>
    <t>单价（万元）</t>
  </si>
  <si>
    <t>总价（万元）</t>
  </si>
  <si>
    <t>备注</t>
  </si>
  <si>
    <r>
      <rPr>
        <sz val="12"/>
        <color rgb="FF000000"/>
        <rFont val="Times New Roman"/>
        <charset val="134"/>
      </rPr>
      <t>1000Nm</t>
    </r>
    <r>
      <rPr>
        <vertAlign val="superscript"/>
        <sz val="12"/>
        <color rgb="FF000000"/>
        <rFont val="Times New Roman"/>
        <charset val="134"/>
      </rPr>
      <t>3</t>
    </r>
    <r>
      <rPr>
        <sz val="12"/>
        <color rgb="FF000000"/>
        <rFont val="Times New Roman"/>
        <charset val="134"/>
      </rPr>
      <t>/h</t>
    </r>
    <r>
      <rPr>
        <sz val="12"/>
        <color rgb="FF000000"/>
        <rFont val="宋体"/>
        <charset val="134"/>
      </rPr>
      <t>电解槽</t>
    </r>
  </si>
  <si>
    <t>700元/kW，直流电耗5kWh/Nm³</t>
  </si>
  <si>
    <r>
      <rPr>
        <sz val="12"/>
        <color rgb="FF000000"/>
        <rFont val="Times New Roman"/>
        <charset val="134"/>
      </rPr>
      <t>4000Nm</t>
    </r>
    <r>
      <rPr>
        <vertAlign val="superscript"/>
        <sz val="12"/>
        <color rgb="FF000000"/>
        <rFont val="Times New Roman"/>
        <charset val="134"/>
      </rPr>
      <t>3</t>
    </r>
    <r>
      <rPr>
        <sz val="12"/>
        <color rgb="FF000000"/>
        <rFont val="Times New Roman"/>
        <charset val="134"/>
      </rPr>
      <t>/h</t>
    </r>
    <r>
      <rPr>
        <sz val="12"/>
        <color rgb="FF000000"/>
        <rFont val="宋体"/>
        <charset val="134"/>
      </rPr>
      <t>分离系统</t>
    </r>
  </si>
  <si>
    <r>
      <rPr>
        <sz val="12"/>
        <color rgb="FF000000"/>
        <rFont val="Times New Roman"/>
        <charset val="134"/>
      </rPr>
      <t>4000Nm</t>
    </r>
    <r>
      <rPr>
        <vertAlign val="superscript"/>
        <sz val="12"/>
        <color rgb="FF000000"/>
        <rFont val="Times New Roman"/>
        <charset val="134"/>
      </rPr>
      <t>3</t>
    </r>
    <r>
      <rPr>
        <sz val="12"/>
        <color rgb="FF000000"/>
        <rFont val="Times New Roman"/>
        <charset val="134"/>
      </rPr>
      <t>/h</t>
    </r>
    <r>
      <rPr>
        <sz val="12"/>
        <color rgb="FF000000"/>
        <rFont val="宋体"/>
        <charset val="134"/>
      </rPr>
      <t>纯化系统</t>
    </r>
  </si>
  <si>
    <t>补水配碱</t>
  </si>
  <si>
    <t>变压器</t>
  </si>
  <si>
    <t>整流柜</t>
  </si>
  <si>
    <t>纯水机</t>
  </si>
  <si>
    <t>闭式冷却塔</t>
  </si>
  <si>
    <t>冷冻水机组</t>
  </si>
  <si>
    <t>空压机</t>
  </si>
  <si>
    <t>合计</t>
  </si>
  <si>
    <t>4×1000标方电解制氢系统全套装置电耗（20MW）</t>
  </si>
  <si>
    <t>用电设备名称</t>
  </si>
  <si>
    <r>
      <rPr>
        <b/>
        <sz val="11"/>
        <color theme="1"/>
        <rFont val="宋体"/>
        <charset val="134"/>
      </rPr>
      <t>单台设备预估功率（</t>
    </r>
    <r>
      <rPr>
        <b/>
        <sz val="11"/>
        <color theme="1"/>
        <rFont val="Times New Roman"/>
        <charset val="134"/>
      </rPr>
      <t>kW</t>
    </r>
    <r>
      <rPr>
        <b/>
        <sz val="11"/>
        <color theme="1"/>
        <rFont val="宋体"/>
        <charset val="134"/>
      </rPr>
      <t>）</t>
    </r>
  </si>
  <si>
    <t>套数</t>
  </si>
  <si>
    <r>
      <rPr>
        <b/>
        <sz val="11"/>
        <color theme="1"/>
        <rFont val="宋体"/>
        <charset val="134"/>
      </rPr>
      <t>功率（</t>
    </r>
    <r>
      <rPr>
        <b/>
        <sz val="11"/>
        <color theme="1"/>
        <rFont val="Times New Roman"/>
        <charset val="134"/>
      </rPr>
      <t>kW</t>
    </r>
    <r>
      <rPr>
        <b/>
        <sz val="11"/>
        <color theme="1"/>
        <rFont val="宋体"/>
        <charset val="134"/>
      </rPr>
      <t>）</t>
    </r>
  </si>
  <si>
    <t>电解槽(1000Nm3/h)</t>
  </si>
  <si>
    <t>碱液循环泵</t>
  </si>
  <si>
    <r>
      <rPr>
        <sz val="11"/>
        <color theme="1"/>
        <rFont val="Times New Roman"/>
        <charset val="134"/>
      </rPr>
      <t>380V/</t>
    </r>
    <r>
      <rPr>
        <sz val="11"/>
        <color theme="1"/>
        <rFont val="宋体"/>
        <charset val="134"/>
      </rPr>
      <t>四用两备</t>
    </r>
  </si>
  <si>
    <t>补水泵</t>
  </si>
  <si>
    <r>
      <rPr>
        <sz val="11"/>
        <color theme="1"/>
        <rFont val="Times New Roman"/>
        <charset val="134"/>
      </rPr>
      <t>380V/</t>
    </r>
    <r>
      <rPr>
        <sz val="11"/>
        <color theme="1"/>
        <rFont val="宋体"/>
        <charset val="134"/>
      </rPr>
      <t>一用一备</t>
    </r>
  </si>
  <si>
    <t>配碱泵</t>
  </si>
  <si>
    <t>380V</t>
  </si>
  <si>
    <t>纯化脱氧塔</t>
  </si>
  <si>
    <t>纯化干燥塔(3个塔，1个工作)</t>
  </si>
  <si>
    <t>闭式冷却水塔</t>
  </si>
  <si>
    <t>冷冻水机</t>
  </si>
  <si>
    <r>
      <rPr>
        <sz val="11"/>
        <color theme="1"/>
        <rFont val="宋体"/>
        <charset val="134"/>
      </rPr>
      <t>单台电解槽另需辅助功耗约</t>
    </r>
    <r>
      <rPr>
        <sz val="11"/>
        <color theme="1"/>
        <rFont val="Times New Roman"/>
        <charset val="134"/>
      </rPr>
      <t>185kW</t>
    </r>
    <r>
      <rPr>
        <sz val="11"/>
        <color theme="1"/>
        <rFont val="宋体"/>
        <charset val="134"/>
      </rPr>
      <t>（2-11项）</t>
    </r>
  </si>
  <si>
    <t>口径</t>
  </si>
  <si>
    <t>价格区间</t>
  </si>
  <si>
    <t>折算</t>
  </si>
  <si>
    <t>① 电解槽本体（1000Nm³/h≈5MW 标台套）</t>
  </si>
  <si>
    <t>主流中标 450～550 万元/套；2025年底极端低价 254～285 万元/套</t>
  </si>
  <si>
    <t>90～110 万元/MW；极端低价约 50～57 万元/MW</t>
  </si>
  <si>
    <t>② 制氢成套系统（含整流变、IGBT电源、BOP、分离纯化）</t>
  </si>
  <si>
    <t>1500～2000 元/kW，2025年行业均价约 1900 元/kW</t>
  </si>
  <si>
    <t>150～200 万元/MW</t>
  </si>
  <si>
    <t>③ 制氢站整体 EPC（再加土建、安装、水处理、储氢、并网）</t>
  </si>
  <si>
    <t>约 2300～3000 元/kW</t>
  </si>
  <si>
    <t>230～300 万元/MW</t>
  </si>
  <si>
    <t>470～610万元/MW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</si>
</sst>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12"/>
      <color rgb="FF000000"/>
      <name val="宋体"/>
      <charset val="134"/>
    </font>
    <font>
      <sz val="12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2"/>
      <color rgb="FF000000"/>
      <name val="Times New Roman"/>
      <charset val="134"/>
    </font>
    <font>
      <b/>
      <sz val="11"/>
      <color theme="1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Fill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4"/>
  <sheetViews>
    <sheetView tabSelected="1" workbookViewId="0">
      <selection activeCell="K11" sqref="K11"/>
    </sheetView>
  </sheetViews>
  <sheetFormatPr defaultColWidth="8.72727272727273" defaultRowHeight="14" outlineLevelCol="6"/>
  <cols>
    <col min="2" max="2" width="12.5454545454545" customWidth="1"/>
    <col min="3" max="3" width="30.8181818181818" customWidth="1"/>
    <col min="4" max="4" width="12.7272727272727" customWidth="1"/>
    <col min="5" max="5" width="14.2727272727273" customWidth="1"/>
    <col min="6" max="6" width="16.0909090909091" customWidth="1"/>
    <col min="7" max="7" width="27.6363636363636" customWidth="1"/>
  </cols>
  <sheetData>
    <row r="1" spans="2:7">
      <c r="B1" s="4" t="s">
        <v>0</v>
      </c>
      <c r="C1" s="4"/>
      <c r="D1" s="4"/>
      <c r="E1" s="4"/>
      <c r="F1" s="4"/>
      <c r="G1" s="4"/>
    </row>
    <row r="2" spans="2:7">
      <c r="B2" s="4"/>
      <c r="C2" s="4"/>
      <c r="D2" s="4"/>
      <c r="E2" s="4"/>
      <c r="F2" s="4"/>
      <c r="G2" s="4"/>
    </row>
    <row r="3" s="11" customFormat="1" ht="15" spans="2:7"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3" t="s">
        <v>6</v>
      </c>
    </row>
    <row r="4" s="11" customFormat="1" ht="16.5" spans="2:7">
      <c r="B4" s="14">
        <v>1</v>
      </c>
      <c r="C4" s="14" t="s">
        <v>7</v>
      </c>
      <c r="D4" s="14">
        <v>4</v>
      </c>
      <c r="E4" s="14">
        <v>350</v>
      </c>
      <c r="F4" s="14">
        <v>1400</v>
      </c>
      <c r="G4" s="13" t="s">
        <v>8</v>
      </c>
    </row>
    <row r="5" s="11" customFormat="1" ht="16.5" spans="2:7">
      <c r="B5" s="14">
        <v>2</v>
      </c>
      <c r="C5" s="14" t="s">
        <v>9</v>
      </c>
      <c r="D5" s="14">
        <v>1</v>
      </c>
      <c r="E5" s="14">
        <v>435</v>
      </c>
      <c r="F5" s="14">
        <v>435</v>
      </c>
      <c r="G5" s="13"/>
    </row>
    <row r="6" s="11" customFormat="1" ht="16.5" spans="2:7">
      <c r="B6" s="14">
        <v>3</v>
      </c>
      <c r="C6" s="14" t="s">
        <v>10</v>
      </c>
      <c r="D6" s="14">
        <v>1</v>
      </c>
      <c r="E6" s="14">
        <v>290</v>
      </c>
      <c r="F6" s="14">
        <v>290</v>
      </c>
      <c r="G6" s="13"/>
    </row>
    <row r="7" s="11" customFormat="1" ht="15.5" spans="2:7">
      <c r="B7" s="14">
        <v>4</v>
      </c>
      <c r="C7" s="12" t="s">
        <v>11</v>
      </c>
      <c r="D7" s="14">
        <v>1</v>
      </c>
      <c r="E7" s="14">
        <v>70</v>
      </c>
      <c r="F7" s="14">
        <v>70</v>
      </c>
      <c r="G7" s="13"/>
    </row>
    <row r="8" s="11" customFormat="1" ht="15.5" spans="2:7">
      <c r="B8" s="14">
        <v>5</v>
      </c>
      <c r="C8" s="12" t="s">
        <v>12</v>
      </c>
      <c r="D8" s="14">
        <v>2</v>
      </c>
      <c r="E8" s="14">
        <v>110</v>
      </c>
      <c r="F8" s="14">
        <v>220</v>
      </c>
      <c r="G8" s="13"/>
    </row>
    <row r="9" s="11" customFormat="1" ht="15.5" spans="2:7">
      <c r="B9" s="14">
        <v>6</v>
      </c>
      <c r="C9" s="12" t="s">
        <v>13</v>
      </c>
      <c r="D9" s="14">
        <v>4</v>
      </c>
      <c r="E9" s="14">
        <v>80</v>
      </c>
      <c r="F9" s="14">
        <v>320</v>
      </c>
      <c r="G9" s="13"/>
    </row>
    <row r="10" s="11" customFormat="1" ht="15.5" spans="2:7">
      <c r="B10" s="14">
        <v>7</v>
      </c>
      <c r="C10" s="12" t="s">
        <v>14</v>
      </c>
      <c r="D10" s="14">
        <v>1</v>
      </c>
      <c r="E10" s="14">
        <v>25</v>
      </c>
      <c r="F10" s="14">
        <v>25</v>
      </c>
      <c r="G10" s="13"/>
    </row>
    <row r="11" s="11" customFormat="1" ht="15.5" spans="2:7">
      <c r="B11" s="14">
        <v>8</v>
      </c>
      <c r="C11" s="12" t="s">
        <v>15</v>
      </c>
      <c r="D11" s="14">
        <v>1</v>
      </c>
      <c r="E11" s="14">
        <v>120</v>
      </c>
      <c r="F11" s="14">
        <v>120</v>
      </c>
      <c r="G11" s="13"/>
    </row>
    <row r="12" s="11" customFormat="1" ht="31.5" customHeight="1" spans="2:7">
      <c r="B12" s="14">
        <v>9</v>
      </c>
      <c r="C12" s="12" t="s">
        <v>16</v>
      </c>
      <c r="D12" s="14">
        <v>1</v>
      </c>
      <c r="E12" s="14">
        <v>30</v>
      </c>
      <c r="F12" s="14">
        <v>30</v>
      </c>
      <c r="G12" s="13"/>
    </row>
    <row r="13" s="11" customFormat="1" ht="15.5" spans="2:7">
      <c r="B13" s="14">
        <v>10</v>
      </c>
      <c r="C13" s="12" t="s">
        <v>17</v>
      </c>
      <c r="D13" s="14">
        <v>1</v>
      </c>
      <c r="E13" s="14">
        <v>8</v>
      </c>
      <c r="F13" s="14">
        <v>8</v>
      </c>
      <c r="G13" s="13"/>
    </row>
    <row r="14" s="11" customFormat="1" ht="15.5" spans="2:7">
      <c r="B14" s="12" t="s">
        <v>18</v>
      </c>
      <c r="C14" s="12"/>
      <c r="D14" s="12"/>
      <c r="E14" s="12"/>
      <c r="F14" s="14">
        <v>2918</v>
      </c>
      <c r="G14" s="13"/>
    </row>
  </sheetData>
  <mergeCells count="2">
    <mergeCell ref="B14:E14"/>
    <mergeCell ref="B1:G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4"/>
  <sheetViews>
    <sheetView workbookViewId="0">
      <selection activeCell="B1" sqref="B1:G2"/>
    </sheetView>
  </sheetViews>
  <sheetFormatPr defaultColWidth="8.72727272727273" defaultRowHeight="14" outlineLevelCol="6"/>
  <cols>
    <col min="3" max="3" width="25.3636363636364" customWidth="1"/>
    <col min="4" max="4" width="25.5454545454545" customWidth="1"/>
    <col min="5" max="5" width="10.4545454545455" customWidth="1"/>
    <col min="6" max="6" width="15.2727272727273" customWidth="1"/>
    <col min="7" max="7" width="30.0909090909091" customWidth="1"/>
  </cols>
  <sheetData>
    <row r="1" spans="2:7">
      <c r="B1" s="4" t="s">
        <v>19</v>
      </c>
      <c r="C1" s="5"/>
      <c r="D1" s="5"/>
      <c r="E1" s="5"/>
      <c r="F1" s="5"/>
      <c r="G1" s="5"/>
    </row>
    <row r="2" spans="2:7">
      <c r="B2" s="5"/>
      <c r="C2" s="5"/>
      <c r="D2" s="5"/>
      <c r="E2" s="5"/>
      <c r="F2" s="5"/>
      <c r="G2" s="5"/>
    </row>
    <row r="3" spans="2:7">
      <c r="B3" s="6" t="s">
        <v>1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6</v>
      </c>
    </row>
    <row r="4" s="3" customFormat="1" spans="2:7">
      <c r="B4" s="7">
        <v>1</v>
      </c>
      <c r="C4" s="8" t="s">
        <v>24</v>
      </c>
      <c r="D4" s="9">
        <v>5000</v>
      </c>
      <c r="E4" s="10">
        <v>4</v>
      </c>
      <c r="F4" s="10">
        <f>D4*E4</f>
        <v>20000</v>
      </c>
      <c r="G4" s="9"/>
    </row>
    <row r="5" spans="2:7">
      <c r="B5" s="10">
        <v>2</v>
      </c>
      <c r="C5" s="8" t="s">
        <v>25</v>
      </c>
      <c r="D5" s="10">
        <v>18.5</v>
      </c>
      <c r="E5" s="10">
        <v>4</v>
      </c>
      <c r="F5" s="10">
        <f t="shared" ref="F5:F14" si="0">D5*E5</f>
        <v>74</v>
      </c>
      <c r="G5" s="10" t="s">
        <v>26</v>
      </c>
    </row>
    <row r="6" spans="2:7">
      <c r="B6" s="7">
        <v>3</v>
      </c>
      <c r="C6" s="8" t="s">
        <v>27</v>
      </c>
      <c r="D6" s="10">
        <v>3</v>
      </c>
      <c r="E6" s="10">
        <v>1</v>
      </c>
      <c r="F6" s="10">
        <f t="shared" si="0"/>
        <v>3</v>
      </c>
      <c r="G6" s="10" t="s">
        <v>28</v>
      </c>
    </row>
    <row r="7" ht="15.5" customHeight="1" spans="2:7">
      <c r="B7" s="10">
        <v>4</v>
      </c>
      <c r="C7" s="8" t="s">
        <v>29</v>
      </c>
      <c r="D7" s="10">
        <v>3</v>
      </c>
      <c r="E7" s="10">
        <v>1</v>
      </c>
      <c r="F7" s="10">
        <f t="shared" si="0"/>
        <v>3</v>
      </c>
      <c r="G7" s="10" t="s">
        <v>30</v>
      </c>
    </row>
    <row r="8" spans="2:7">
      <c r="B8" s="7">
        <v>5</v>
      </c>
      <c r="C8" s="8" t="s">
        <v>31</v>
      </c>
      <c r="D8" s="10">
        <v>160</v>
      </c>
      <c r="E8" s="10">
        <v>1</v>
      </c>
      <c r="F8" s="10">
        <f t="shared" si="0"/>
        <v>160</v>
      </c>
      <c r="G8" s="10" t="s">
        <v>30</v>
      </c>
    </row>
    <row r="9" ht="28" spans="2:7">
      <c r="B9" s="10">
        <v>6</v>
      </c>
      <c r="C9" s="8" t="s">
        <v>32</v>
      </c>
      <c r="D9" s="10">
        <v>113</v>
      </c>
      <c r="E9" s="10">
        <v>1</v>
      </c>
      <c r="F9" s="10">
        <f t="shared" si="0"/>
        <v>113</v>
      </c>
      <c r="G9" s="10" t="s">
        <v>30</v>
      </c>
    </row>
    <row r="10" spans="2:7">
      <c r="B10" s="10">
        <v>8</v>
      </c>
      <c r="C10" s="8" t="s">
        <v>33</v>
      </c>
      <c r="D10" s="10">
        <v>80</v>
      </c>
      <c r="E10" s="10">
        <v>1</v>
      </c>
      <c r="F10" s="10">
        <f t="shared" si="0"/>
        <v>80</v>
      </c>
      <c r="G10" s="10" t="s">
        <v>30</v>
      </c>
    </row>
    <row r="11" spans="2:7">
      <c r="B11" s="7">
        <v>9</v>
      </c>
      <c r="C11" s="8" t="s">
        <v>34</v>
      </c>
      <c r="D11" s="10">
        <v>260</v>
      </c>
      <c r="E11" s="10">
        <v>1</v>
      </c>
      <c r="F11" s="10">
        <f t="shared" si="0"/>
        <v>260</v>
      </c>
      <c r="G11" s="10" t="s">
        <v>30</v>
      </c>
    </row>
    <row r="12" spans="2:7">
      <c r="B12" s="10">
        <v>10</v>
      </c>
      <c r="C12" s="8" t="s">
        <v>14</v>
      </c>
      <c r="D12" s="10">
        <v>36</v>
      </c>
      <c r="E12" s="10">
        <v>1</v>
      </c>
      <c r="F12" s="10">
        <f t="shared" si="0"/>
        <v>36</v>
      </c>
      <c r="G12" s="10" t="s">
        <v>30</v>
      </c>
    </row>
    <row r="13" spans="2:7">
      <c r="B13" s="7">
        <v>11</v>
      </c>
      <c r="C13" s="8" t="s">
        <v>17</v>
      </c>
      <c r="D13" s="10">
        <v>11</v>
      </c>
      <c r="E13" s="10">
        <v>1</v>
      </c>
      <c r="F13" s="10">
        <f t="shared" si="0"/>
        <v>11</v>
      </c>
      <c r="G13" s="10" t="s">
        <v>30</v>
      </c>
    </row>
    <row r="14" ht="28" spans="2:7">
      <c r="B14" s="8"/>
      <c r="C14" s="8" t="s">
        <v>18</v>
      </c>
      <c r="D14" s="8"/>
      <c r="E14" s="8"/>
      <c r="F14" s="10">
        <f>SUM(F4:F13)</f>
        <v>20740</v>
      </c>
      <c r="G14" s="8" t="s">
        <v>35</v>
      </c>
    </row>
  </sheetData>
  <mergeCells count="1">
    <mergeCell ref="B1:G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6"/>
  <sheetViews>
    <sheetView workbookViewId="0">
      <selection activeCell="B21" sqref="B21"/>
    </sheetView>
  </sheetViews>
  <sheetFormatPr defaultColWidth="8.72727272727273" defaultRowHeight="14" outlineLevelRow="5" outlineLevelCol="3"/>
  <cols>
    <col min="1" max="1" width="3.27272727272727" customWidth="1"/>
    <col min="2" max="2" width="54.4545454545455" customWidth="1"/>
    <col min="3" max="3" width="62.2727272727273" customWidth="1"/>
    <col min="4" max="4" width="52.6363636363636" customWidth="1"/>
  </cols>
  <sheetData>
    <row r="2" spans="2:4">
      <c r="B2" s="1" t="s">
        <v>36</v>
      </c>
      <c r="C2" s="1" t="s">
        <v>37</v>
      </c>
      <c r="D2" s="1" t="s">
        <v>38</v>
      </c>
    </row>
    <row r="3" spans="2:4">
      <c r="B3" t="s">
        <v>39</v>
      </c>
      <c r="C3" t="s">
        <v>40</v>
      </c>
      <c r="D3" t="s">
        <v>41</v>
      </c>
    </row>
    <row r="4" spans="2:4">
      <c r="B4" t="s">
        <v>42</v>
      </c>
      <c r="C4" t="s">
        <v>43</v>
      </c>
      <c r="D4" t="s">
        <v>44</v>
      </c>
    </row>
    <row r="5" spans="2:4">
      <c r="B5" t="s">
        <v>45</v>
      </c>
      <c r="C5" t="s">
        <v>46</v>
      </c>
      <c r="D5" t="s">
        <v>47</v>
      </c>
    </row>
    <row r="6" spans="2:4">
      <c r="D6" s="2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4×1000标方电解制氢装置概算</vt:lpstr>
      <vt:lpstr>4×1000标方电解制氢装置电耗</vt:lpstr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紫气东来</cp:lastModifiedBy>
  <dcterms:created xsi:type="dcterms:W3CDTF">2026-09-05T10:07:00Z</dcterms:created>
  <dcterms:modified xsi:type="dcterms:W3CDTF">2026-09-11T03:58:27Z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64018705","ProduceID":"4104911854008839_7503374145485275174-data_volume/7661842472263434534-files/所有对话/主对话/绿氢测算/年产1万吨绿氢配套测算表.xlsx","ReservedCode1":"","ContentPropagator":"001191110102MACQD9K64028705","PropagateID":"4104911854008839#1788603336127","ReservedCode2":""}</vt:lpwstr>
  </property>
  <property fmtid="{D5CDD505-2E9C-101B-9397-08002B2CF9AE}" pid="3" name="ICV">
    <vt:lpwstr>0A112300AC834D0681FBA32577CF4768_12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